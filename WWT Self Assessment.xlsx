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Users\Dao.Pham\Downloads\"/>
    </mc:Choice>
  </mc:AlternateContent>
  <xr:revisionPtr revIDLastSave="0" documentId="13_ncr:1_{C4F10E5A-8042-4355-8EB1-D09F9436FBF1}" xr6:coauthVersionLast="47" xr6:coauthVersionMax="47" xr10:uidLastSave="{00000000-0000-0000-0000-000000000000}"/>
  <bookViews>
    <workbookView xWindow="28680" yWindow="-120" windowWidth="29040" windowHeight="15720" activeTab="1" xr2:uid="{00000000-000D-0000-FFFF-FFFF00000000}"/>
  </bookViews>
  <sheets>
    <sheet name="Summary" sheetId="1" r:id="rId1"/>
    <sheet name="Checklist" sheetId="2" r:id="rId2"/>
  </sheets>
  <definedNames>
    <definedName name="_xlnm.Print_Titles" localSheetId="1">Checklist!$1:$2</definedName>
    <definedName name="_xlnm.Print_Titles" localSheetId="0">Summary!$1:$2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50" i="2" l="1"/>
  <c r="E11" i="1" s="1"/>
  <c r="C42" i="2"/>
  <c r="E10" i="1" s="1"/>
  <c r="C32" i="2"/>
  <c r="E9" i="1" s="1"/>
  <c r="C21" i="2"/>
  <c r="E8" i="1" s="1"/>
  <c r="C12" i="2"/>
  <c r="E7" i="1" s="1"/>
  <c r="C4" i="2"/>
  <c r="E6" i="1" s="1"/>
  <c r="D12" i="1"/>
  <c r="E12" i="1" l="1"/>
  <c r="H16" i="1" s="1"/>
</calcChain>
</file>

<file path=xl/sharedStrings.xml><?xml version="1.0" encoding="utf-8"?>
<sst xmlns="http://schemas.openxmlformats.org/spreadsheetml/2006/main" count="269" uniqueCount="216">
  <si>
    <t xml:space="preserve">          VICC WWT MANAGEMENT SELF-ASSESSMENT MATRIX</t>
  </si>
  <si>
    <t xml:space="preserve">Site Name:  </t>
  </si>
  <si>
    <t>Dates</t>
  </si>
  <si>
    <t>Start:</t>
  </si>
  <si>
    <t xml:space="preserve">Lead Assessor:  </t>
  </si>
  <si>
    <t>End:</t>
  </si>
  <si>
    <t>KEA</t>
  </si>
  <si>
    <t>Nội dung</t>
  </si>
  <si>
    <t>Tổng số Q</t>
  </si>
  <si>
    <t>% KEA</t>
  </si>
  <si>
    <t>Trọng số</t>
  </si>
  <si>
    <t>KEA 1 – Hệ thống quản lý &amp; trách nhiệm vận hành HTXLNT</t>
  </si>
  <si>
    <t>Cơ cấu tổ chức vận hành, phân công nhiệm vụ, đồng phục, mô tả công việc, nội quy, hồ sơ nhân sự, sơ đồ bể, thiết bị, đào tạo.</t>
  </si>
  <si>
    <t>KEA 2 – Kiểm soát hoá chất &amp; an toàn hoá chất</t>
  </si>
  <si>
    <t>Quy trình pha chế, lưu trữ, ghi nhận tồn kho, nhãn cảnh báo, PPE, MSDS, sơ cứu.</t>
  </si>
  <si>
    <t>KEA 3 – Vận hành hệ thống xử lý (Bể &amp; Thiết bị)</t>
  </si>
  <si>
    <t>Kiểm tra bể, thiết bị cơ điện, đường ống, tủ điện, vận hành đúng chế độ, ghi nhật ký.</t>
  </si>
  <si>
    <t>KEA 4 – Giám sát chỉ tiêu nước thải &amp; Ứng phó sự cố</t>
  </si>
  <si>
    <t>Quan trắc đầu ra, đo DO/pH/MLSS/SVI, ứng phó khi vượt QCVN, báo cáo sự cố.</t>
  </si>
  <si>
    <t>KEA 5 – Hồ sơ, tài liệu &amp; Đào tạo</t>
  </si>
  <si>
    <t>Nhật ký vận hành, hồ sơ bảo trì, báo cáo quan trắc, kế hoạch đào tạo, kiểm soát tài liệu.</t>
  </si>
  <si>
    <t>KEA 6 – Hiệu suất, KPI &amp; Cải tiến liên tục</t>
  </si>
  <si>
    <t>KPI vận hành, CAPA, đánh giá định kỳ, tuân thủ pháp lý, cải tiến quy trình.</t>
  </si>
  <si>
    <t>Total KEA Rating:</t>
  </si>
  <si>
    <t>Rating Level</t>
  </si>
  <si>
    <t>Nhận xét tổng quát</t>
  </si>
  <si>
    <t>Điểm (%)</t>
  </si>
  <si>
    <t>WWT Management</t>
  </si>
  <si>
    <t>Excellent – Hệ thống XLNT rất tốt, đáp ứng toàn diện yêu cầu.</t>
  </si>
  <si>
    <t>Fully compliant. Well-documented, consistently implemented, reviewed regularly.
Tuân thủ hoàn toàn. Tài liệu rõ ràng, thực hiện nhất quán, xem xét định kỳ.</t>
  </si>
  <si>
    <t>≥ 100%</t>
  </si>
  <si>
    <t>KEA Rating:</t>
  </si>
  <si>
    <t>Good – Hệ thống hoạt động ổn định, chỉ cần cải thiện nhỏ.</t>
  </si>
  <si>
    <t>Mostly compliant. Minor gaps observed; system effective and well maintained.
Hầu hết tuân thủ. Vài điểm nhỏ cần cải thiện; hệ thống hoạt động tốt.</t>
  </si>
  <si>
    <t>90% – 99%</t>
  </si>
  <si>
    <t>Fair – Cần kế hoạch cải thiện, chưa ổn định.</t>
  </si>
  <si>
    <t>Partially compliant. Some key areas need improvement or documentation incomplete.
Tuân thủ một phần. Một số điểm quan trọng cần cải thiện hoặc tài liệu chưa đầy đủ.</t>
  </si>
  <si>
    <t>75% – 90%</t>
  </si>
  <si>
    <t>Poor – Nhiều điểm yếu, cần hành động khắc phục sớm.</t>
  </si>
  <si>
    <t>Major gaps. Implementation inconsistent or incomplete.
Có nhiều điểm yếu. Thực hiện không đồng bộ hoặc chưa hoàn chỉnh.</t>
  </si>
  <si>
    <t>60% – 74%</t>
  </si>
  <si>
    <t>Non-compliant – Không đáp ứng yêu cầu, cần xây dựng lại hệ thống.</t>
  </si>
  <si>
    <t>Not compliant. No evidence of implementation or documentation.
Không tuân thủ. Không có bằng chứng thực hiện hoặc tài liệu.</t>
  </si>
  <si>
    <t>&lt; 60%</t>
  </si>
  <si>
    <t>VICC WWT MANAGEMENT SELF-ASSESSMENT MATRIX</t>
  </si>
  <si>
    <t>No.</t>
  </si>
  <si>
    <t>KEY ELEMENT CHECKLIST INFORMATION</t>
  </si>
  <si>
    <t xml:space="preserve"> Answer</t>
  </si>
  <si>
    <t>GUIDELINES FOR IMPLEMENTATION</t>
  </si>
  <si>
    <t>Required Action(s)</t>
  </si>
  <si>
    <t>Comments</t>
  </si>
  <si>
    <t>Deadline</t>
  </si>
  <si>
    <t>I.</t>
  </si>
  <si>
    <t>I.1</t>
  </si>
  <si>
    <t>Có Hướng dẫn vận hành HTXLNT (HSE.V.HS.SOP-18) được niêm yết tại khu vực vận hành và truyền đạt cho nhân viên vận hành không?
Is the WWT Operation SOP posted at the treatment area and communicated to relevant operators?</t>
  </si>
  <si>
    <t>yes</t>
  </si>
  <si>
    <t>Kiểm tra SOP được niêm yết và truyền đạt tại hiện trường.
Check SOP posting and communication on site.</t>
  </si>
  <si>
    <t>I.2</t>
  </si>
  <si>
    <t>Có danh sách liên hệ khẩn cấp (HSE / Quản lý nhà máy / Cơ quan địa phương) được niêm yết tại khu vực HTXLNT không?
Is there a list of key contacts (HSE / Plant Manager / Local Authority) posted at WWT area?</t>
  </si>
  <si>
    <t>Kiểm tra danh sách liên hệ tại khu vực vận hành.
Verify contact list posted at WWT operation area.</t>
  </si>
  <si>
    <t>I.3</t>
  </si>
  <si>
    <t>Nhân viên vận hành HTXLNT có được đào tạo đầy đủ và hồ sơ đào tạo được lưu trữ không?
Are WWT operators properly trained with training records available?</t>
  </si>
  <si>
    <t>Xem kế hoạch đào tạo và hồ sơ.
Review training plan and records.</t>
  </si>
  <si>
    <t>I.4</t>
  </si>
  <si>
    <t>Có hợp đồng/quyết định phân công trách nhiệm vận hành HTXLNT rõ ràng không?
Is there a clear assignment of responsibilities for WWT operation?</t>
  </si>
  <si>
    <t>Kiểm tra quyết định phân công và hồ sơ liên quan.
Review assignment decision and related records.</t>
  </si>
  <si>
    <t>I.5</t>
  </si>
  <si>
    <t>Kế hoạch vận hành và bảo trì HTXLNT đã được phê duyệt bởi Quản lý nhà máy chưa?
Has the WWT operation and maintenance plan been approved by management?</t>
  </si>
  <si>
    <t>Kiểm tra kế hoạch và chữ ký phê duyệt.
Review plan and approval signatures.</t>
  </si>
  <si>
    <t>I.6</t>
  </si>
  <si>
    <t>Có sơ đồ mặt bằng HTXLNT và phân công nhiệm vụ ca trực với lịch kiểm tra không?
Is there a WWT layout diagram and shift duty assignment with inspection schedule?</t>
  </si>
  <si>
    <t>no</t>
  </si>
  <si>
    <t>Kiểm tra sơ đồ bể và lịch trực.
Check tank diagram and duty schedule.</t>
  </si>
  <si>
    <t>Chưa có sơ đồ cập nhật cho ca mới</t>
  </si>
  <si>
    <t>I.7</t>
  </si>
  <si>
    <t>Có hồ sơ năng lực nhân viên vận hành đầy đủ (chứng chỉ, hợp đồng, CCCD) không?
Are operator personnel files complete (certificates, contract, ID)?</t>
  </si>
  <si>
    <t>Kiểm tra hồ sơ lưu tại HR.
Check records stored at HR.</t>
  </si>
  <si>
    <t>II.</t>
  </si>
  <si>
    <t>KEA 2 – Kiểm soát hoá chất &amp; An toàn hoá chất</t>
  </si>
  <si>
    <t>II.1</t>
  </si>
  <si>
    <t>Có bảng MSDS/SDS đầy đủ cho tất cả hoá chất sử dụng (NaOH, HCl, PAC, Polymer, Chlorine) được niêm yết tại kho và khu pha chế không?
Are MSDS/SDS sheets available and posted for all chemicals used?</t>
  </si>
  <si>
    <t>Kiểm tra MSDS niêm yết tại kho hoá chất.
Check MSDS posted at chemical storage area.</t>
  </si>
  <si>
    <t>II.2</t>
  </si>
  <si>
    <t>Hoá chất được lưu trữ đúng quy định: khu vực riêng, có bund ngăn tràn, dán nhãn cảnh báo, xa nguồn nhiệt không?
Are chemicals stored properly: separate area, bunding, warning labels, away from heat sources?</t>
  </si>
  <si>
    <t>Quan sát kho lưu trữ hoá chất.
Observe chemical storage area.</t>
  </si>
  <si>
    <t>II.3</t>
  </si>
  <si>
    <t>Nhân viên pha chế hoá chất có sử dụng đầy đủ PPE (kính, găng tay, tạp dề, ủng) không?
Do operators wear full PPE when handling/mixing chemicals?</t>
  </si>
  <si>
    <t>Quan sát thực tế khi pha chế.
Observe during chemical preparation.</t>
  </si>
  <si>
    <t>II.4</t>
  </si>
  <si>
    <t>Có cân định kỳ được hiệu chuẩn để đo lượng hoá chất pha chế không?
Is the scale periodically calibrated for measuring chemical doses?</t>
  </si>
  <si>
    <t>Kiểm tra nhãn hiệu chuẩn trên cân.
Check calibration label on scale.</t>
  </si>
  <si>
    <t>II.5</t>
  </si>
  <si>
    <t>Tồn kho hoá chất được ghi nhận và kiểm tra định kỳ 3 ngày/lần không?
Is chemical inventory recorded and checked every 3 days?</t>
  </si>
  <si>
    <t>Kiểm tra nhật ký tồn kho hoá chất.
Check chemical inventory log.</t>
  </si>
  <si>
    <t>II.6</t>
  </si>
  <si>
    <t>Quy trình pha chế cho từng hoá chất (NaOH, HCl, PAC, Polymer, Chlorine) được niêm yết tại khu vực pha chế không?
Are chemical preparation procedures posted at the mixing area for each chemical?</t>
  </si>
  <si>
    <t>Kiểm tra hướng dẫn pha chế niêm yết.
Check posted preparation instructions.</t>
  </si>
  <si>
    <t>Chưa niêm yết đầy đủ WI pha chế tại khu vực</t>
  </si>
  <si>
    <t>II.7</t>
  </si>
  <si>
    <t>Có biện pháp sơ cứu rõ ràng khi tiếp xúc hoá chất (bỏng, hít phải) và nhân viên nắm được quy trình không?
Are first aid procedures for chemical exposure (burns, inhalation) clear and known to operators?</t>
  </si>
  <si>
    <t>Phỏng vấn ngẫu nhiên nhân viên về quy trình sơ cứu.
Randomly interview operators on first aid procedures.</t>
  </si>
  <si>
    <t>II.8</t>
  </si>
  <si>
    <t>Hoá chất thải bỏ (bùn hoá lý, dung dịch quá hạn) được xử lý đúng quy định CTNH không?
Is chemical waste (chemical sludge, expired solutions) disposed of as hazardous waste per regulations?</t>
  </si>
  <si>
    <t>Kiểm tra hợp đồng thu gom CTNH và manifest.
Check hazardous waste contract and manifest.</t>
  </si>
  <si>
    <t>III.</t>
  </si>
  <si>
    <t>III.1</t>
  </si>
  <si>
    <t>Tất cả bể xử lý được kiểm tra ngoại quan hàng tuần (nứt, rò rỉ, bùn cặn, ăn mòn) và ghi nhận vào nhật ký không?
Are all treatment tanks visually inspected weekly (cracks, leaks, sediment, corrosion) and logged?</t>
  </si>
  <si>
    <t>Kiểm tra nhật ký ngoại quan bể.
Check tank inspection log.</t>
  </si>
  <si>
    <t>III.2</t>
  </si>
  <si>
    <t>Bơm nước thải, bơm định lượng, máy thổi khí được kiểm tra hoạt động và ghi nhận hàng ngày không?
Are wastewater pumps, dosing pumps, and air blowers checked daily and logged?</t>
  </si>
  <si>
    <t>Kiểm tra nhật ký vận hành thiết bị.
Check equipment operation log.</t>
  </si>
  <si>
    <t>III.3</t>
  </si>
  <si>
    <t>Máy thổi khí hoạt động luân phiên đúng timer (120 phút chạy / 120 phút nghỉ) và duy trì DO = 1.5–2.5 mg/L không?
Are air blowers operating alternately per timer (120 min ON / 120 min OFF) maintaining DO = 1.5–2.5 mg/L?</t>
  </si>
  <si>
    <t>Quan sát timer và đo DO thực tế.
Observe timer and measure DO on-site.</t>
  </si>
  <si>
    <t>III.4</t>
  </si>
  <si>
    <t>Giá thể MBBR được kiểm tra định kỳ (không tắc, không thoát ra ngoài lưới chắn) và lưới chắn giá thể còn nguyên vẹn không?
Is MBBR media checked periodically (no clogging, no escape through screen) and the retention screen intact?</t>
  </si>
  <si>
    <t>Quan sát thực tế bể MBBR.
Observe MBBR tank on-site.</t>
  </si>
  <si>
    <t>III.5</t>
  </si>
  <si>
    <t>Bơm bùn tuần hoàn (bể lắng 2 → Anoxic) hoạt động đúng theo timer và lưu lượng không?
Is the sludge recirculation pump (Clarifier 2 → Anoxic) operating correctly per timer and flow?</t>
  </si>
  <si>
    <t>Kiểm tra timer và lưu lượng bơm tuần hoàn.
Check timer and recirculation pump flow.</t>
  </si>
  <si>
    <t>III.6</t>
  </si>
  <si>
    <t>Bùn dư được bơm về bể chứa bùn đúng lịch (30 phút chạy / 120 phút nghỉ) không?
Is excess sludge pumped to the sludge tank on schedule (30 min ON / 120 min OFF)?</t>
  </si>
  <si>
    <t>Kiểm tra timer và mực bùn bể chứa.
Check timer and sludge storage level.</t>
  </si>
  <si>
    <t>III.7</t>
  </si>
  <si>
    <t>Hệ thống đường ống (nước thải, khí, bùn, hoá chất) được kiểm tra rò rỉ và tắc nghẽn hàng tuần không?
Are all pipelines (wastewater, air, sludge, chemical) inspected for leaks and blockages weekly?</t>
  </si>
  <si>
    <t>Kiểm tra nhật ký và quan sát đường ống.
Check log and observe pipelines.</t>
  </si>
  <si>
    <t>Chưa có checklist riêng cho kiểm tra đường ống</t>
  </si>
  <si>
    <t>III.8</t>
  </si>
  <si>
    <t>Tủ điện điều khiển được kiểm tra đèn báo, rơle nhiệt và CB định kỳ hàng tuần không?
Is the control panel checked for indicator lights, thermal relays, and CBs weekly?</t>
  </si>
  <si>
    <t>Kiểm tra nhật ký tủ điện.
Check control panel log.</t>
  </si>
  <si>
    <t>III.9</t>
  </si>
  <si>
    <t>Sensor pH tự động tại bể trung hòa được hiệu chuẩn định kỳ hàng tuần không?
Is the automatic pH sensor at the neutralization tank calibrated weekly?</t>
  </si>
  <si>
    <t>Kiểm tra nhật ký hiệu chuẩn pH.
Check pH calibration log.</t>
  </si>
  <si>
    <t>III.10</t>
  </si>
  <si>
    <t>Khi tủ điện báo sự cố (đèn lỗi/còi hú), nhân viên có quy trình xử lý và ghi nhận kịp thời không?
When the control panel signals a fault (error light / alarm), do operators have a procedure and log it promptly?</t>
  </si>
  <si>
    <t>Phỏng vấn nhân viên và kiểm tra hồ sơ sự cố.
Interview operators and check incident records.</t>
  </si>
  <si>
    <t>IV.</t>
  </si>
  <si>
    <t>IV.1</t>
  </si>
  <si>
    <t>Chỉ số pH đầu vào và đầu ra được kiểm tra và ghi nhận hàng ngày không? (Tiêu chuẩn đầu ra: 5.5–9.0)
Are influent and effluent pH checked and logged daily? (Effluent standard: 5.5–9.0)</t>
  </si>
  <si>
    <t>Kiểm tra nhật ký đo pH hàng ngày.
Check daily pH measurement log.</t>
  </si>
  <si>
    <t>IV.2</t>
  </si>
  <si>
    <t>Nồng độ oxy hòa tan (DO) tại bể MBBR/Aerotank được đo hàng ngày và duy trì 1.5–2.5 mg/L không?
Is dissolved oxygen (DO) in MBBR/Aerotank measured daily and maintained at 1.5–2.5 mg/L?</t>
  </si>
  <si>
    <t>Kiểm tra nhật ký DO và kết quả đo.
Check DO log and measurements.</t>
  </si>
  <si>
    <t>IV.3</t>
  </si>
  <si>
    <t>Chỉ số bùn hoạt tính (SV/SVI) được đo hàng ngày và duy trì SV = 300–700 ml/L, SVI ≤ 150 ml/g không?
Is activated sludge index (SV/SVI) measured daily: SV = 300–700 ml/L, SVI ≤ 150 ml/g?</t>
  </si>
  <si>
    <t>Kiểm tra nhật ký SV/SVI và bình đong.
Check SV/SVI log and graduated cylinder.</t>
  </si>
  <si>
    <t>IV.4</t>
  </si>
  <si>
    <t>MLSS tại bể sinh học được đo và duy trì trong khoảng 2500–3500 mg/L không?
Is MLSS in the biological tank measured and maintained at 2500–3500 mg/L?</t>
  </si>
  <si>
    <t>Kiểm tra nhật ký MLSS định kỳ.
Check MLSS periodic log.</t>
  </si>
  <si>
    <t>IV.5</t>
  </si>
  <si>
    <t>COD và Amoni đầu ra được kiểm tra ít nhất 1 lần/tuần (COD ≤ 150 mg/L; NH₄⁺ ≤ 10 mg/L) không?
Are effluent COD and Ammonium tested at least weekly? (COD ≤ 150 mg/L; NH₄⁺ ≤ 10 mg/L)</t>
  </si>
  <si>
    <t>Kiểm tra kết quả test COD và Amoni hàng tuần.
Check weekly COD and ammonium test results.</t>
  </si>
  <si>
    <t>IV.6</t>
  </si>
  <si>
    <t>Lưu lượng nước thải đầu ra được ghi nhận hàng ngày qua đồng hồ đo lưu lượng không? (Max 70 m³/ngày)
Is effluent flow recorded daily via flow meter? (Max 70 m³/day)</t>
  </si>
  <si>
    <t>Kiểm tra sổ ghi chỉ số đồng hồ / ảnh chụp.
Check meter reading log / photos.</t>
  </si>
  <si>
    <t>IV.7</t>
  </si>
  <si>
    <t>Khi phát hiện chỉ tiêu vượt QCVN 40:2011/Cột B, nhân viên báo cáo ngay cho HSE và lập biên bản trong 2h không?
When effluent exceeds QCVN 40:2011/Col.B limits, is it reported to HSE immediately and documented within 2 hours?</t>
  </si>
  <si>
    <t>Kiểm tra hồ sơ sự cố và biên bản.
Check incident records and reports.</t>
  </si>
  <si>
    <t>Chưa có biên bản sự cố được lập khi vượt ngưỡng</t>
  </si>
  <si>
    <t>IV.8</t>
  </si>
  <si>
    <t>Hệ thống bùn (bơm bùn, đường ống bùn, bể chứa bùn) được kiểm tra và ghi nhận định kỳ không?
Are sludge systems (pumps, pipelines, storage tank) checked and logged periodically?</t>
  </si>
  <si>
    <t>Kiểm tra nhật ký bơm bùn và mực bể chứa bùn.
Check sludge pump log and storage level.</t>
  </si>
  <si>
    <t>IV.9</t>
  </si>
  <si>
    <t>Bảo vệ / nhân viên vận hành ghi nhận và kiểm tra chỉ số điện, nước hàng ca; báo cáo ngay bất thường không?
Do operators log electricity and water meter readings per shift and report anomalies immediately?</t>
  </si>
  <si>
    <t>Kiểm tra sổ ghi chỉ số / ảnh chụp đồng hồ.
Check reading log / meter photos.</t>
  </si>
  <si>
    <t>V.</t>
  </si>
  <si>
    <t>V.1</t>
  </si>
  <si>
    <t>Tất cả biểu mẫu vận hành HTXLNT (nhật ký vận hành, kiểm tra thiết bị, hoá chất, quan trắc) được kiểm soát phiên bản không?
Are all WWT operation forms (operation log, equipment check, chemical, monitoring) version-controlled?</t>
  </si>
  <si>
    <t>Kiểm tra trên hệ thống SharePoint / hồ sơ cứng.
Check on SharePoint system / hard copies.</t>
  </si>
  <si>
    <t>V.2</t>
  </si>
  <si>
    <t>Hồ sơ vận hành HTXLNT được lưu trữ ít nhất 12 tháng không?
Are WWT operation records retained for at least 12 months?</t>
  </si>
  <si>
    <t>Kiểm tra nơi lưu và thời gian giữ hồ sơ.
Check storage location and retention period.</t>
  </si>
  <si>
    <t>V.3</t>
  </si>
  <si>
    <t>Có kế hoạch đào tạo nhân viên vận hành mới về HTXLNT và hồ sơ đào tạo được lưu trữ không?
Is there a training plan for new WWT operators and are training records retained?</t>
  </si>
  <si>
    <t>Kiểm tra kế hoạch và hồ sơ đào tạo.
Check training plan and records.</t>
  </si>
  <si>
    <t>V.4</t>
  </si>
  <si>
    <t>Có kế hoạch đào tạo định kỳ hàng tháng cho nhân viên vận hành về quy trình HTXLNT không?
Is there a monthly periodic training plan for WWT operators on operation procedures?</t>
  </si>
  <si>
    <t>Kiểm tra hồ sơ đào tạo định kỳ.
Check periodic training records.</t>
  </si>
  <si>
    <t>V.5</t>
  </si>
  <si>
    <t>Có biên bản bàn giao ca ghi nhận đầy đủ tình trạng thiết bị, sự cố và chỉ tiêu vận hành không?
Is there a complete shift handover record covering equipment status, incidents, and operational parameters?</t>
  </si>
  <si>
    <t>Kiểm tra sổ bàn giao ca / checklist cuối ca.
Check shift handover log / end-of-shift checklist.</t>
  </si>
  <si>
    <t>V.6</t>
  </si>
  <si>
    <t>Có checklist audit nội bộ định kỳ hàng tháng về vận hành HTXLNT do HSE thực hiện không?
Is there a monthly internal audit checklist for WWT operations conducted by HSE?</t>
  </si>
  <si>
    <t>Kiểm tra hồ sơ audit và báo cáo.
Check audit records and reports.</t>
  </si>
  <si>
    <t>Chưa có lịch audit nội bộ định kỳ cho HTXLNT</t>
  </si>
  <si>
    <t>V.7</t>
  </si>
  <si>
    <t>Báo cáo quan trắc môi trường định kỳ (nước thải đầu ra) được gửi đúng hạn theo Giấy phép môi trường không?
Are periodic environmental monitoring reports (effluent) submitted on time per the Environmental Permit?</t>
  </si>
  <si>
    <t>Kiểm tra lịch gửi báo cáo và biên nhận.
Check report submission schedule and receipts.</t>
  </si>
  <si>
    <t>VI.</t>
  </si>
  <si>
    <t>VI.1</t>
  </si>
  <si>
    <t>Có bảng tổng hợp kết quả self-assessment HTXLNT và % hoàn thành định kỳ hàng tháng không?
Is there a WWT self-assessment summary with monthly completion percentage?</t>
  </si>
  <si>
    <t>Kiểm tra file tổng hợp Excel.
Check summary Excel file.</t>
  </si>
  <si>
    <t>VI.2</t>
  </si>
  <si>
    <t>Có KPI theo dõi: lưu lượng xử lý, % tuân thủ QCVN, tỷ lệ sự cố thiết bị, chi phí hoá chất không?
Are KPIs tracked: treatment flow, QCVN compliance rate, equipment incident rate, chemical cost?</t>
  </si>
  <si>
    <t>Kiểm tra báo cáo KPI tháng / HSE report.
Check monthly KPI / HSE report.</t>
  </si>
  <si>
    <t>VI.3</t>
  </si>
  <si>
    <t>Hành động khắc phục (CAPA) từ các phát hiện audit hoặc sự cố được theo dõi đến khi đóng hoàn tất không?
Are corrective actions (CAPA) from audit findings or incidents tracked to full closure?</t>
  </si>
  <si>
    <t>Kiểm tra CAPA log.
Check CAPA log.</t>
  </si>
  <si>
    <t>VI.4</t>
  </si>
  <si>
    <t>Có họp review kết quả vận hành HTXLNT với Giám đốc nhà máy và HSE định kỳ hàng tháng không?
Is there a monthly WWT performance review meeting with the Plant Manager and HSE?</t>
  </si>
  <si>
    <t>Kiểm tra hồ sơ họp và biên bản.
Check meeting records and minutes.</t>
  </si>
  <si>
    <t>VI.5</t>
  </si>
  <si>
    <t>Nhân viên vận hành tuân thủ tác phong chuẩn mực: đúng giờ, đồng phục, không sử dụng điện thoại cá nhân trong giờ trực không?
Do operators maintain professional conduct: punctual, in uniform, no personal phone use during shift?</t>
  </si>
  <si>
    <t>Quan sát trực tiếp / kiểm tra camera / phản hồi HSE.
Direct observation / camera check / HSE feedback.</t>
  </si>
  <si>
    <t>VI.6</t>
  </si>
  <si>
    <t>Nhân viên vận hành chịu trách nhiệm giữ gìn trật tự và vệ sinh khu vực HTXLNT không?
Are operators responsible for maintaining order and cleanliness in the WWT area?</t>
  </si>
  <si>
    <t>Kiểm tra khu vực vận hành thực tế.
Check WWT operation area on-site.</t>
  </si>
  <si>
    <t>VI.7</t>
  </si>
  <si>
    <t>Nhân viên vận hành báo cáo kịp thời và trung thực các sự cố, không che giấu hoặc bỏ qua vi phạm không?
Do operators report incidents promptly and honestly without concealment or omission?</t>
  </si>
  <si>
    <t>Kiểm tra hồ sơ sự cố và đối chiếu nhật ký.
Check incident records against operation logs.</t>
  </si>
  <si>
    <t>VI.8</t>
  </si>
  <si>
    <t>Nhân viên nắm rõ quy trình vận hành, QCVN 40:2011 và các chỉ tiêu cần duy trì tại vị trí trực không?
Do operators know the operation procedures, QCVN 40:2011 limits and parameters to maintain on shift?</t>
  </si>
  <si>
    <t>Phỏng vấn ngẫu nhiên, quan sát thực tế tại chốt.
Random interview, on-site observation.</t>
  </si>
  <si>
    <t>VI.9</t>
  </si>
  <si>
    <t>Bùn dư được hút định kỳ 6 tháng/lần bởi đơn vị thu gom CTNH có giấy phép và có manifest lưu trữ không?
Is excess sludge collected every 6 months by a licensed hazardous waste collector with manifest stored?</t>
  </si>
  <si>
    <t>Kiểm tra hợp đồng CTNH và vcl bùn.
Check hazardous waste contract and sludge manifest.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</si>
</sst>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mm/yyyy"/>
  </numFmts>
  <fonts count="12">
    <font>
      <sz val="11"/>
      <color theme="1"/>
      <name val="Calibri"/>
      <family val="2"/>
      <scheme val="minor"/>
    </font>
    <font>
      <b/>
      <sz val="14"/>
      <color rgb="FFFFFFFF"/>
      <name val="Encode Sans Semi Expanded"/>
    </font>
    <font>
      <b/>
      <sz val="9"/>
      <color rgb="FF000000"/>
      <name val="Encode Sans Semi Expanded"/>
    </font>
    <font>
      <b/>
      <sz val="9"/>
      <color rgb="FFFFFFFF"/>
      <name val="Encode Sans Semi Expanded"/>
    </font>
    <font>
      <b/>
      <sz val="10"/>
      <color rgb="FFFFFFFF"/>
      <name val="Encode Sans Semi Expanded"/>
    </font>
    <font>
      <b/>
      <sz val="10"/>
      <color rgb="FF1F3864"/>
      <name val="Encode Sans Semi Expanded"/>
    </font>
    <font>
      <sz val="9"/>
      <color rgb="FF000000"/>
      <name val="Encode Sans Semi Expanded"/>
    </font>
    <font>
      <b/>
      <sz val="9"/>
      <color rgb="FF1F3864"/>
      <name val="Encode Sans Semi Expanded"/>
    </font>
    <font>
      <sz val="9"/>
      <color rgb="FFFFFFFF"/>
      <name val="Encode Sans Semi Expanded"/>
    </font>
    <font>
      <b/>
      <sz val="11"/>
      <color rgb="FF1F3864"/>
      <name val="Encode Sans Semi Expanded"/>
    </font>
    <font>
      <b/>
      <sz val="22"/>
      <color rgb="FF1F3864"/>
      <name val="Encode Sans Semi Expanded"/>
    </font>
    <font>
      <sz val="9"/>
      <color rgb="FF7F6000"/>
      <name val="Encode Sans Semi Expanded"/>
    </font>
  </fonts>
  <fills count="16">
    <fill>
      <patternFill patternType="none"/>
    </fill>
    <fill>
      <patternFill patternType="gray125"/>
    </fill>
    <fill>
      <patternFill patternType="solid">
        <fgColor rgb="FF1F3864"/>
      </patternFill>
    </fill>
    <fill>
      <patternFill patternType="solid">
        <fgColor rgb="FFDEEAF1"/>
      </patternFill>
    </fill>
    <fill>
      <patternFill patternType="solid">
        <fgColor rgb="FFFFFFFF"/>
      </patternFill>
    </fill>
    <fill>
      <patternFill patternType="solid">
        <fgColor rgb="FFF2F2F2"/>
      </patternFill>
    </fill>
    <fill>
      <patternFill patternType="solid">
        <fgColor rgb="FF00FF00"/>
      </patternFill>
    </fill>
    <fill>
      <patternFill patternType="solid">
        <fgColor rgb="FF92D050"/>
      </patternFill>
    </fill>
    <fill>
      <patternFill patternType="solid">
        <fgColor rgb="FFFFFF00"/>
      </patternFill>
    </fill>
    <fill>
      <patternFill patternType="solid">
        <fgColor rgb="FFFF9900"/>
      </patternFill>
    </fill>
    <fill>
      <patternFill patternType="solid">
        <fgColor rgb="FFC00000"/>
      </patternFill>
    </fill>
    <fill>
      <patternFill patternType="solid">
        <fgColor rgb="FF4472C4"/>
      </patternFill>
    </fill>
    <fill>
      <patternFill patternType="solid">
        <fgColor rgb="FF1F4E79"/>
      </patternFill>
    </fill>
    <fill>
      <patternFill patternType="solid">
        <fgColor rgb="FFF5F9FF"/>
      </patternFill>
    </fill>
    <fill>
      <patternFill patternType="solid">
        <fgColor rgb="FF00B050"/>
      </patternFill>
    </fill>
    <fill>
      <patternFill patternType="solid">
        <fgColor rgb="FFFFF2CC"/>
      </patternFill>
    </fill>
  </fills>
  <borders count="7">
    <border>
      <left/>
      <right/>
      <top/>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style="medium">
        <color auto="1"/>
      </left>
      <right style="medium">
        <color auto="1"/>
      </right>
      <top style="medium">
        <color auto="1"/>
      </top>
      <bottom style="medium">
        <color auto="1"/>
      </bottom>
      <diagonal/>
    </border>
    <border>
      <left/>
      <right/>
      <top style="thin">
        <color auto="1"/>
      </top>
      <bottom style="thin">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s>
  <cellStyleXfs count="1">
    <xf numFmtId="0" fontId="0" fillId="0" borderId="0"/>
  </cellStyleXfs>
  <cellXfs count="49">
    <xf numFmtId="0" fontId="0" fillId="0" borderId="0" xfId="0"/>
    <xf numFmtId="0" fontId="2" fillId="3" borderId="1" xfId="0" applyFont="1" applyFill="1" applyBorder="1" applyAlignment="1">
      <alignment horizontal="left" vertical="center" wrapText="1"/>
    </xf>
    <xf numFmtId="0" fontId="2" fillId="4" borderId="1" xfId="0" applyFont="1" applyFill="1" applyBorder="1" applyAlignment="1">
      <alignment horizontal="left" vertical="center" wrapText="1"/>
    </xf>
    <xf numFmtId="0" fontId="3" fillId="2" borderId="1" xfId="0" applyFont="1" applyFill="1" applyBorder="1" applyAlignment="1">
      <alignment horizontal="center" vertical="center" wrapText="1"/>
    </xf>
    <xf numFmtId="0" fontId="2" fillId="4" borderId="1" xfId="0" applyFont="1" applyFill="1" applyBorder="1" applyAlignment="1">
      <alignment horizontal="center" vertical="center" wrapText="1"/>
    </xf>
    <xf numFmtId="0" fontId="2" fillId="5" borderId="1" xfId="0" applyFont="1" applyFill="1" applyBorder="1" applyAlignment="1">
      <alignment horizontal="left" vertical="center" wrapText="1"/>
    </xf>
    <xf numFmtId="0" fontId="2" fillId="5" borderId="1" xfId="0" applyFont="1" applyFill="1" applyBorder="1" applyAlignment="1">
      <alignment horizontal="center" vertical="center" wrapText="1"/>
    </xf>
    <xf numFmtId="9" fontId="3" fillId="2" borderId="1" xfId="0" applyNumberFormat="1" applyFont="1" applyFill="1" applyBorder="1" applyAlignment="1">
      <alignment horizontal="center" vertical="center" wrapText="1"/>
    </xf>
    <xf numFmtId="0" fontId="2" fillId="6" borderId="1" xfId="0" applyFont="1" applyFill="1" applyBorder="1" applyAlignment="1">
      <alignment horizontal="left" vertical="center" wrapText="1"/>
    </xf>
    <xf numFmtId="0" fontId="2" fillId="6" borderId="1" xfId="0" applyFont="1" applyFill="1" applyBorder="1" applyAlignment="1">
      <alignment horizontal="center" vertical="center" wrapText="1"/>
    </xf>
    <xf numFmtId="0" fontId="2" fillId="7" borderId="1" xfId="0" applyFont="1" applyFill="1" applyBorder="1" applyAlignment="1">
      <alignment horizontal="left" vertical="center" wrapText="1"/>
    </xf>
    <xf numFmtId="0" fontId="2" fillId="7" borderId="1" xfId="0" applyFont="1" applyFill="1" applyBorder="1" applyAlignment="1">
      <alignment horizontal="center" vertical="center" wrapText="1"/>
    </xf>
    <xf numFmtId="0" fontId="2" fillId="8" borderId="1" xfId="0" applyFont="1" applyFill="1" applyBorder="1" applyAlignment="1">
      <alignment horizontal="left" vertical="center" wrapText="1"/>
    </xf>
    <xf numFmtId="0" fontId="2" fillId="8" borderId="1" xfId="0" applyFont="1" applyFill="1" applyBorder="1" applyAlignment="1">
      <alignment horizontal="center" vertical="center" wrapText="1"/>
    </xf>
    <xf numFmtId="0" fontId="2" fillId="9" borderId="1" xfId="0" applyFont="1" applyFill="1" applyBorder="1" applyAlignment="1">
      <alignment horizontal="left" vertical="center" wrapText="1"/>
    </xf>
    <xf numFmtId="0" fontId="2" fillId="9" borderId="1" xfId="0" applyFont="1" applyFill="1" applyBorder="1" applyAlignment="1">
      <alignment horizontal="center" vertical="center" wrapText="1"/>
    </xf>
    <xf numFmtId="0" fontId="3" fillId="10" borderId="1" xfId="0" applyFont="1" applyFill="1" applyBorder="1" applyAlignment="1">
      <alignment horizontal="left" vertical="center" wrapText="1"/>
    </xf>
    <xf numFmtId="0" fontId="3" fillId="10" borderId="1" xfId="0" applyFont="1" applyFill="1" applyBorder="1" applyAlignment="1">
      <alignment horizontal="center" vertical="center" wrapText="1"/>
    </xf>
    <xf numFmtId="0" fontId="3" fillId="11" borderId="1" xfId="0" applyFont="1" applyFill="1" applyBorder="1" applyAlignment="1">
      <alignment horizontal="center" vertical="center" wrapText="1"/>
    </xf>
    <xf numFmtId="0" fontId="3" fillId="12" borderId="1" xfId="0" applyFont="1" applyFill="1" applyBorder="1" applyAlignment="1">
      <alignment horizontal="center" vertical="center" wrapText="1"/>
    </xf>
    <xf numFmtId="0" fontId="4" fillId="12" borderId="1" xfId="0" applyFont="1" applyFill="1" applyBorder="1" applyAlignment="1">
      <alignment horizontal="left" vertical="center" wrapText="1"/>
    </xf>
    <xf numFmtId="9" fontId="5" fillId="3" borderId="1" xfId="0" applyNumberFormat="1" applyFont="1" applyFill="1" applyBorder="1" applyAlignment="1">
      <alignment horizontal="center" vertical="center" wrapText="1"/>
    </xf>
    <xf numFmtId="0" fontId="0" fillId="12" borderId="1" xfId="0" applyFill="1" applyBorder="1"/>
    <xf numFmtId="0" fontId="2" fillId="13" borderId="1" xfId="0" applyFont="1" applyFill="1" applyBorder="1" applyAlignment="1">
      <alignment horizontal="center" vertical="center" wrapText="1"/>
    </xf>
    <xf numFmtId="0" fontId="6" fillId="13" borderId="1" xfId="0" applyFont="1" applyFill="1" applyBorder="1" applyAlignment="1">
      <alignment horizontal="left" vertical="center" wrapText="1"/>
    </xf>
    <xf numFmtId="0" fontId="3" fillId="14" borderId="1" xfId="0" applyFont="1" applyFill="1" applyBorder="1" applyAlignment="1">
      <alignment horizontal="center" vertical="center" wrapText="1"/>
    </xf>
    <xf numFmtId="164" fontId="0" fillId="13" borderId="1" xfId="0" applyNumberFormat="1" applyFill="1" applyBorder="1"/>
    <xf numFmtId="0" fontId="6" fillId="4" borderId="1" xfId="0" applyFont="1" applyFill="1" applyBorder="1" applyAlignment="1">
      <alignment horizontal="left" vertical="center" wrapText="1"/>
    </xf>
    <xf numFmtId="164" fontId="0" fillId="4" borderId="1" xfId="0" applyNumberFormat="1" applyFill="1" applyBorder="1"/>
    <xf numFmtId="0" fontId="6" fillId="4" borderId="1" xfId="0" applyFont="1" applyFill="1" applyBorder="1" applyAlignment="1">
      <alignment horizontal="center" vertical="center" wrapText="1"/>
    </xf>
    <xf numFmtId="9" fontId="7" fillId="3" borderId="1" xfId="0" applyNumberFormat="1" applyFont="1" applyFill="1" applyBorder="1" applyAlignment="1">
      <alignment horizontal="center" vertical="center" wrapText="1"/>
    </xf>
    <xf numFmtId="0" fontId="6" fillId="5" borderId="1" xfId="0" applyFont="1" applyFill="1" applyBorder="1" applyAlignment="1">
      <alignment horizontal="left" vertical="center" wrapText="1"/>
    </xf>
    <xf numFmtId="0" fontId="6" fillId="5" borderId="1" xfId="0" applyFont="1" applyFill="1" applyBorder="1" applyAlignment="1">
      <alignment horizontal="center" vertical="center" wrapText="1"/>
    </xf>
    <xf numFmtId="0" fontId="6" fillId="6" borderId="1" xfId="0" applyFont="1" applyFill="1" applyBorder="1" applyAlignment="1">
      <alignment horizontal="left" vertical="center" wrapText="1"/>
    </xf>
    <xf numFmtId="0" fontId="6" fillId="7" borderId="1" xfId="0" applyFont="1" applyFill="1" applyBorder="1" applyAlignment="1">
      <alignment horizontal="left" vertical="center" wrapText="1"/>
    </xf>
    <xf numFmtId="0" fontId="6" fillId="8" borderId="1" xfId="0" applyFont="1" applyFill="1" applyBorder="1" applyAlignment="1">
      <alignment horizontal="left" vertical="center" wrapText="1"/>
    </xf>
    <xf numFmtId="0" fontId="6" fillId="9" borderId="1" xfId="0" applyFont="1" applyFill="1" applyBorder="1" applyAlignment="1">
      <alignment horizontal="left" vertical="center" wrapText="1"/>
    </xf>
    <xf numFmtId="0" fontId="8" fillId="10" borderId="1" xfId="0" applyFont="1" applyFill="1" applyBorder="1" applyAlignment="1">
      <alignment horizontal="left" vertical="center" wrapText="1"/>
    </xf>
    <xf numFmtId="0" fontId="11" fillId="15" borderId="1" xfId="0" applyFont="1" applyFill="1" applyBorder="1" applyAlignment="1">
      <alignment horizontal="left" vertical="center" wrapText="1"/>
    </xf>
    <xf numFmtId="0" fontId="9" fillId="3" borderId="1" xfId="0" applyFont="1" applyFill="1" applyBorder="1" applyAlignment="1">
      <alignment horizontal="center" vertical="center" wrapText="1"/>
    </xf>
    <xf numFmtId="0" fontId="0" fillId="0" borderId="4" xfId="0" applyBorder="1"/>
    <xf numFmtId="0" fontId="0" fillId="0" borderId="2" xfId="0" applyBorder="1"/>
    <xf numFmtId="0" fontId="1" fillId="2" borderId="0" xfId="0" applyFont="1" applyFill="1" applyAlignment="1">
      <alignment horizontal="left" vertical="center" wrapText="1"/>
    </xf>
    <xf numFmtId="0" fontId="0" fillId="0" borderId="0" xfId="0"/>
    <xf numFmtId="9" fontId="10" fillId="4" borderId="3" xfId="0" applyNumberFormat="1" applyFont="1" applyFill="1" applyBorder="1" applyAlignment="1">
      <alignment horizontal="center" vertical="center" wrapText="1"/>
    </xf>
    <xf numFmtId="0" fontId="0" fillId="0" borderId="5" xfId="0" applyBorder="1"/>
    <xf numFmtId="0" fontId="0" fillId="0" borderId="6" xfId="0" applyBorder="1"/>
    <xf numFmtId="0" fontId="3" fillId="2" borderId="1" xfId="0" applyFont="1" applyFill="1" applyBorder="1" applyAlignment="1">
      <alignment horizontal="center" vertical="center" wrapText="1"/>
    </xf>
    <xf numFmtId="0" fontId="1" fillId="2" borderId="0" xfId="0" applyFont="1" applyFill="1" applyAlignment="1">
      <alignment horizontal="center"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0</xdr:colOff>
      <xdr:row>0</xdr:row>
      <xdr:rowOff>0</xdr:rowOff>
    </xdr:from>
    <xdr:ext cx="762000" cy="428625"/>
    <xdr:pic>
      <xdr:nvPicPr>
        <xdr:cNvPr id="2" name="Image 1" descr="Picture">
          <a:extLst>
            <a:ext uri="{FF2B5EF4-FFF2-40B4-BE49-F238E27FC236}">
              <a16:creationId xmlns:a16="http://schemas.microsoft.com/office/drawing/2014/main" id="{00000000-0008-0000-0000-000002000000}"/>
            </a:ext>
          </a:extLst>
        </xdr:cNvPr>
        <xdr:cNvPicPr/>
      </xdr:nvPicPr>
      <xdr:blipFill>
        <a:blip xmlns:r="http://schemas.openxmlformats.org/officeDocument/2006/relationships" r:embed="rId1" cstate="print"/>
        <a:stretch>
          <a:fillRect/>
        </a:stretch>
      </xdr:blipFill>
      <xdr:spPr>
        <a:prstGeom prst="rect">
          <a:avLst/>
        </a:prstGeom>
        <a:ln>
          <a:prstDash val="solid"/>
        </a:ln>
      </xdr:spPr>
    </xdr:pic>
    <xdr:clientData/>
  </xdr:oneCellAnchor>
</xdr:wsDr>
</file>

<file path=xl/drawings/drawing2.xml><?xml version="1.0" encoding="utf-8"?>
<xdr:wsDr xmlns:xdr="http://schemas.openxmlformats.org/drawingml/2006/spreadsheetDrawing" xmlns:a="http://schemas.openxmlformats.org/drawingml/2006/main">
  <xdr:oneCellAnchor>
    <xdr:from>
      <xdr:col>0</xdr:col>
      <xdr:colOff>0</xdr:colOff>
      <xdr:row>0</xdr:row>
      <xdr:rowOff>0</xdr:rowOff>
    </xdr:from>
    <xdr:ext cx="762000" cy="285750"/>
    <xdr:pic>
      <xdr:nvPicPr>
        <xdr:cNvPr id="2" name="Image 1" descr="Picture">
          <a:extLst>
            <a:ext uri="{FF2B5EF4-FFF2-40B4-BE49-F238E27FC236}">
              <a16:creationId xmlns:a16="http://schemas.microsoft.com/office/drawing/2014/main" id="{00000000-0008-0000-0100-000002000000}"/>
            </a:ext>
          </a:extLst>
        </xdr:cNvPr>
        <xdr:cNvPicPr/>
      </xdr:nvPicPr>
      <xdr:blipFill>
        <a:blip xmlns:r="http://schemas.openxmlformats.org/officeDocument/2006/relationships" r:embed="rId1" cstate="print"/>
        <a:stretch>
          <a:fillRect/>
        </a:stretch>
      </xdr:blipFill>
      <xdr:spPr>
        <a:prstGeom prst="rect">
          <a:avLst/>
        </a:prstGeom>
        <a:ln>
          <a:prstDash val="solid"/>
        </a:ln>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2E75B6"/>
  </sheetPr>
  <dimension ref="B2:M19"/>
  <sheetViews>
    <sheetView showGridLines="0" workbookViewId="0"/>
  </sheetViews>
  <sheetFormatPr defaultRowHeight="14.5"/>
  <cols>
    <col min="1" max="1" width="2" customWidth="1"/>
    <col min="2" max="2" width="36" customWidth="1"/>
    <col min="3" max="3" width="86" customWidth="1"/>
    <col min="4" max="5" width="11" customWidth="1"/>
    <col min="6" max="13" width="10" customWidth="1"/>
  </cols>
  <sheetData>
    <row r="2" spans="2:13" ht="35" customHeight="1">
      <c r="B2" s="42" t="s">
        <v>0</v>
      </c>
      <c r="C2" s="43"/>
      <c r="D2" s="43"/>
      <c r="E2" s="43"/>
      <c r="F2" s="43"/>
    </row>
    <row r="3" spans="2:13" ht="18" customHeight="1">
      <c r="B3" s="1" t="s">
        <v>1</v>
      </c>
      <c r="C3" s="1"/>
      <c r="D3" s="1" t="s">
        <v>2</v>
      </c>
      <c r="E3" s="1" t="s">
        <v>3</v>
      </c>
      <c r="F3" s="1"/>
    </row>
    <row r="4" spans="2:13" ht="18" customHeight="1">
      <c r="B4" s="2" t="s">
        <v>4</v>
      </c>
      <c r="C4" s="2"/>
      <c r="D4" s="2"/>
      <c r="E4" s="2" t="s">
        <v>5</v>
      </c>
      <c r="F4" s="2"/>
    </row>
    <row r="5" spans="2:13" ht="22" customHeight="1">
      <c r="B5" s="3" t="s">
        <v>6</v>
      </c>
      <c r="C5" s="3" t="s">
        <v>7</v>
      </c>
      <c r="D5" s="3" t="s">
        <v>8</v>
      </c>
      <c r="E5" s="3" t="s">
        <v>9</v>
      </c>
      <c r="F5" s="3" t="s">
        <v>10</v>
      </c>
    </row>
    <row r="6" spans="2:13" ht="34" customHeight="1">
      <c r="B6" s="2" t="s">
        <v>11</v>
      </c>
      <c r="C6" s="27" t="s">
        <v>12</v>
      </c>
      <c r="D6" s="29">
        <v>7</v>
      </c>
      <c r="E6" s="30">
        <f>Checklist!C4</f>
        <v>0.8571428571428571</v>
      </c>
      <c r="F6" s="4">
        <v>7</v>
      </c>
    </row>
    <row r="7" spans="2:13" ht="34" customHeight="1">
      <c r="B7" s="5" t="s">
        <v>13</v>
      </c>
      <c r="C7" s="31" t="s">
        <v>14</v>
      </c>
      <c r="D7" s="32">
        <v>8</v>
      </c>
      <c r="E7" s="30">
        <f>Checklist!C12</f>
        <v>0.875</v>
      </c>
      <c r="F7" s="6">
        <v>8</v>
      </c>
    </row>
    <row r="8" spans="2:13" ht="34" customHeight="1">
      <c r="B8" s="2" t="s">
        <v>15</v>
      </c>
      <c r="C8" s="27" t="s">
        <v>16</v>
      </c>
      <c r="D8" s="29">
        <v>10</v>
      </c>
      <c r="E8" s="30">
        <f>Checklist!C21</f>
        <v>0.9</v>
      </c>
      <c r="F8" s="4">
        <v>10</v>
      </c>
    </row>
    <row r="9" spans="2:13" ht="34" customHeight="1">
      <c r="B9" s="5" t="s">
        <v>17</v>
      </c>
      <c r="C9" s="31" t="s">
        <v>18</v>
      </c>
      <c r="D9" s="32">
        <v>9</v>
      </c>
      <c r="E9" s="30">
        <f>Checklist!C32</f>
        <v>0.88888888888888884</v>
      </c>
      <c r="F9" s="6">
        <v>9</v>
      </c>
    </row>
    <row r="10" spans="2:13" ht="34" customHeight="1">
      <c r="B10" s="2" t="s">
        <v>19</v>
      </c>
      <c r="C10" s="27" t="s">
        <v>20</v>
      </c>
      <c r="D10" s="29">
        <v>7</v>
      </c>
      <c r="E10" s="30">
        <f>Checklist!C42</f>
        <v>0.8571428571428571</v>
      </c>
      <c r="F10" s="4">
        <v>7</v>
      </c>
    </row>
    <row r="11" spans="2:13" ht="34" customHeight="1">
      <c r="B11" s="5" t="s">
        <v>21</v>
      </c>
      <c r="C11" s="31" t="s">
        <v>22</v>
      </c>
      <c r="D11" s="32">
        <v>9</v>
      </c>
      <c r="E11" s="30">
        <f>Checklist!C50</f>
        <v>1</v>
      </c>
      <c r="F11" s="6">
        <v>9</v>
      </c>
    </row>
    <row r="12" spans="2:13" ht="24" customHeight="1">
      <c r="B12" s="47" t="s">
        <v>23</v>
      </c>
      <c r="C12" s="41"/>
      <c r="D12" s="3">
        <f>SUM(F6:F11)</f>
        <v>50</v>
      </c>
      <c r="E12" s="7">
        <f>SUMPRODUCT(E6:E11,F6:F11)/SUM(F6:F11)</f>
        <v>0.9</v>
      </c>
    </row>
    <row r="13" spans="2:13" ht="8" customHeight="1"/>
    <row r="14" spans="2:13" ht="22" customHeight="1">
      <c r="B14" s="3" t="s">
        <v>24</v>
      </c>
      <c r="C14" s="3" t="s">
        <v>25</v>
      </c>
      <c r="D14" s="3" t="s">
        <v>26</v>
      </c>
      <c r="H14" s="39" t="s">
        <v>27</v>
      </c>
      <c r="I14" s="40"/>
      <c r="J14" s="40"/>
      <c r="K14" s="40"/>
      <c r="L14" s="40"/>
      <c r="M14" s="41"/>
    </row>
    <row r="15" spans="2:13" ht="22" customHeight="1">
      <c r="B15" s="8" t="s">
        <v>28</v>
      </c>
      <c r="C15" s="33" t="s">
        <v>29</v>
      </c>
      <c r="D15" s="9" t="s">
        <v>30</v>
      </c>
      <c r="H15" s="39" t="s">
        <v>31</v>
      </c>
      <c r="I15" s="40"/>
      <c r="J15" s="40"/>
      <c r="K15" s="40"/>
      <c r="L15" s="40"/>
      <c r="M15" s="41"/>
    </row>
    <row r="16" spans="2:13" ht="50" customHeight="1">
      <c r="B16" s="10" t="s">
        <v>32</v>
      </c>
      <c r="C16" s="34" t="s">
        <v>33</v>
      </c>
      <c r="D16" s="11" t="s">
        <v>34</v>
      </c>
      <c r="H16" s="44">
        <f>E12</f>
        <v>0.9</v>
      </c>
      <c r="I16" s="45"/>
      <c r="J16" s="45"/>
      <c r="K16" s="45"/>
      <c r="L16" s="45"/>
      <c r="M16" s="46"/>
    </row>
    <row r="17" spans="2:4" ht="34" customHeight="1">
      <c r="B17" s="12" t="s">
        <v>35</v>
      </c>
      <c r="C17" s="35" t="s">
        <v>36</v>
      </c>
      <c r="D17" s="13" t="s">
        <v>37</v>
      </c>
    </row>
    <row r="18" spans="2:4" ht="34" customHeight="1">
      <c r="B18" s="14" t="s">
        <v>38</v>
      </c>
      <c r="C18" s="36" t="s">
        <v>39</v>
      </c>
      <c r="D18" s="15" t="s">
        <v>40</v>
      </c>
    </row>
    <row r="19" spans="2:4" ht="34" customHeight="1">
      <c r="B19" s="16" t="s">
        <v>41</v>
      </c>
      <c r="C19" s="37" t="s">
        <v>42</v>
      </c>
      <c r="D19" s="17" t="s">
        <v>43</v>
      </c>
    </row>
  </sheetData>
  <mergeCells count="5">
    <mergeCell ref="H15:M15"/>
    <mergeCell ref="B2:F2"/>
    <mergeCell ref="H14:M14"/>
    <mergeCell ref="H16:M16"/>
    <mergeCell ref="B12:C12"/>
  </mergeCells>
  <conditionalFormatting sqref="E6:E12">
    <cfRule type="colorScale" priority="1">
      <colorScale>
        <cfvo type="num" val="0"/>
        <cfvo type="num" val="0.75"/>
        <cfvo type="num" val="1"/>
        <color rgb="FFC00000"/>
        <color rgb="FFFFFF00"/>
        <color rgb="FF00B050"/>
      </colorScale>
    </cfRule>
  </conditionalFormatting>
  <pageMargins left="0.75" right="0.75" top="1" bottom="1" header="0.5" footer="0.5"/>
  <pageSetup fitToHeight="0" orientation="landscape"/>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1F4E79"/>
  </sheetPr>
  <dimension ref="A1:G59"/>
  <sheetViews>
    <sheetView showGridLines="0" tabSelected="1" workbookViewId="0">
      <pane ySplit="2" topLeftCell="A18" activePane="bottomLeft" state="frozen"/>
      <selection pane="bottomLeft" activeCell="E47" sqref="E47"/>
    </sheetView>
  </sheetViews>
  <sheetFormatPr defaultRowHeight="14.5"/>
  <cols>
    <col min="1" max="1" width="6" customWidth="1"/>
    <col min="2" max="2" width="90" customWidth="1"/>
    <col min="3" max="3" width="11" customWidth="1"/>
    <col min="4" max="4" width="54" customWidth="1"/>
    <col min="5" max="6" width="35" customWidth="1"/>
    <col min="7" max="7" width="13" customWidth="1"/>
  </cols>
  <sheetData>
    <row r="1" spans="1:7" ht="30" customHeight="1">
      <c r="B1" s="48" t="s">
        <v>44</v>
      </c>
      <c r="C1" s="43"/>
      <c r="D1" s="43"/>
      <c r="E1" s="43"/>
      <c r="F1" s="43"/>
      <c r="G1" s="43"/>
    </row>
    <row r="2" spans="1:7" ht="22" customHeight="1">
      <c r="A2" s="3" t="s">
        <v>45</v>
      </c>
      <c r="B2" s="3" t="s">
        <v>46</v>
      </c>
      <c r="C2" s="18" t="s">
        <v>47</v>
      </c>
      <c r="D2" s="3" t="s">
        <v>48</v>
      </c>
      <c r="E2" s="3" t="s">
        <v>49</v>
      </c>
      <c r="F2" s="3" t="s">
        <v>50</v>
      </c>
      <c r="G2" s="3" t="s">
        <v>51</v>
      </c>
    </row>
    <row r="4" spans="1:7" ht="18" customHeight="1">
      <c r="A4" s="19" t="s">
        <v>52</v>
      </c>
      <c r="B4" s="20" t="s">
        <v>11</v>
      </c>
      <c r="C4" s="21">
        <f>IF(ISERR(COUNTIF(C5:C11,"YES")/(COUNTIF(C5:C11,"YES")+COUNTIF(C5:C11,"NO"))),"TBD",COUNTIF(C5:C11,"YES")/(COUNTIF(C5:C11,"YES")+COUNTIF(C5:C11,"NO")))</f>
        <v>0.8571428571428571</v>
      </c>
      <c r="D4" s="22"/>
      <c r="E4" s="22"/>
      <c r="F4" s="22"/>
      <c r="G4" s="22"/>
    </row>
    <row r="5" spans="1:7" ht="42" customHeight="1">
      <c r="A5" s="23" t="s">
        <v>53</v>
      </c>
      <c r="B5" s="24" t="s">
        <v>54</v>
      </c>
      <c r="C5" s="25" t="s">
        <v>55</v>
      </c>
      <c r="D5" s="24" t="s">
        <v>56</v>
      </c>
      <c r="E5" s="24"/>
      <c r="F5" s="24"/>
      <c r="G5" s="26"/>
    </row>
    <row r="6" spans="1:7" ht="42" customHeight="1">
      <c r="A6" s="4" t="s">
        <v>57</v>
      </c>
      <c r="B6" s="27" t="s">
        <v>58</v>
      </c>
      <c r="C6" s="25" t="s">
        <v>55</v>
      </c>
      <c r="D6" s="27" t="s">
        <v>59</v>
      </c>
      <c r="E6" s="27"/>
      <c r="F6" s="27"/>
      <c r="G6" s="28"/>
    </row>
    <row r="7" spans="1:7" ht="42" customHeight="1">
      <c r="A7" s="23" t="s">
        <v>60</v>
      </c>
      <c r="B7" s="24" t="s">
        <v>61</v>
      </c>
      <c r="C7" s="25" t="s">
        <v>55</v>
      </c>
      <c r="D7" s="24" t="s">
        <v>62</v>
      </c>
      <c r="E7" s="24"/>
      <c r="F7" s="24"/>
      <c r="G7" s="26"/>
    </row>
    <row r="8" spans="1:7" ht="42" customHeight="1">
      <c r="A8" s="4" t="s">
        <v>63</v>
      </c>
      <c r="B8" s="27" t="s">
        <v>64</v>
      </c>
      <c r="C8" s="25" t="s">
        <v>55</v>
      </c>
      <c r="D8" s="27" t="s">
        <v>65</v>
      </c>
      <c r="E8" s="27"/>
      <c r="F8" s="27"/>
      <c r="G8" s="28"/>
    </row>
    <row r="9" spans="1:7" ht="42" customHeight="1">
      <c r="A9" s="23" t="s">
        <v>66</v>
      </c>
      <c r="B9" s="24" t="s">
        <v>67</v>
      </c>
      <c r="C9" s="25" t="s">
        <v>55</v>
      </c>
      <c r="D9" s="24" t="s">
        <v>68</v>
      </c>
      <c r="E9" s="24"/>
      <c r="F9" s="24"/>
      <c r="G9" s="26"/>
    </row>
    <row r="10" spans="1:7" ht="42" customHeight="1">
      <c r="A10" s="4" t="s">
        <v>69</v>
      </c>
      <c r="B10" s="27" t="s">
        <v>70</v>
      </c>
      <c r="C10" s="17" t="s">
        <v>71</v>
      </c>
      <c r="D10" s="27" t="s">
        <v>72</v>
      </c>
      <c r="E10" s="38" t="s">
        <v>73</v>
      </c>
      <c r="F10" s="27"/>
      <c r="G10" s="28"/>
    </row>
    <row r="11" spans="1:7" ht="42" customHeight="1">
      <c r="A11" s="23" t="s">
        <v>74</v>
      </c>
      <c r="B11" s="24" t="s">
        <v>75</v>
      </c>
      <c r="C11" s="25" t="s">
        <v>55</v>
      </c>
      <c r="D11" s="24" t="s">
        <v>76</v>
      </c>
      <c r="E11" s="24"/>
      <c r="F11" s="24"/>
      <c r="G11" s="26"/>
    </row>
    <row r="12" spans="1:7" ht="18" customHeight="1">
      <c r="A12" s="19" t="s">
        <v>77</v>
      </c>
      <c r="B12" s="20" t="s">
        <v>78</v>
      </c>
      <c r="C12" s="21">
        <f>IF(ISERR(COUNTIF(C13:C20,"YES")/(COUNTIF(C13:C20,"YES")+COUNTIF(C13:C20,"NO"))),"TBD",COUNTIF(C13:C20,"YES")/(COUNTIF(C13:C20,"YES")+COUNTIF(C13:C20,"NO")))</f>
        <v>0.875</v>
      </c>
      <c r="D12" s="22"/>
      <c r="E12" s="22"/>
      <c r="F12" s="22"/>
      <c r="G12" s="22"/>
    </row>
    <row r="13" spans="1:7" ht="42" customHeight="1">
      <c r="A13" s="23" t="s">
        <v>79</v>
      </c>
      <c r="B13" s="24" t="s">
        <v>80</v>
      </c>
      <c r="C13" s="25" t="s">
        <v>55</v>
      </c>
      <c r="D13" s="24" t="s">
        <v>81</v>
      </c>
      <c r="E13" s="24"/>
      <c r="F13" s="24"/>
      <c r="G13" s="26"/>
    </row>
    <row r="14" spans="1:7" ht="42" customHeight="1">
      <c r="A14" s="4" t="s">
        <v>82</v>
      </c>
      <c r="B14" s="27" t="s">
        <v>83</v>
      </c>
      <c r="C14" s="25" t="s">
        <v>55</v>
      </c>
      <c r="D14" s="27" t="s">
        <v>84</v>
      </c>
      <c r="E14" s="27"/>
      <c r="F14" s="27"/>
      <c r="G14" s="28"/>
    </row>
    <row r="15" spans="1:7" ht="42" customHeight="1">
      <c r="A15" s="23" t="s">
        <v>85</v>
      </c>
      <c r="B15" s="24" t="s">
        <v>86</v>
      </c>
      <c r="C15" s="25" t="s">
        <v>55</v>
      </c>
      <c r="D15" s="24" t="s">
        <v>87</v>
      </c>
      <c r="E15" s="24"/>
      <c r="F15" s="24"/>
      <c r="G15" s="26"/>
    </row>
    <row r="16" spans="1:7" ht="42" customHeight="1">
      <c r="A16" s="4" t="s">
        <v>88</v>
      </c>
      <c r="B16" s="27" t="s">
        <v>89</v>
      </c>
      <c r="C16" s="25" t="s">
        <v>55</v>
      </c>
      <c r="D16" s="27" t="s">
        <v>90</v>
      </c>
      <c r="E16" s="27"/>
      <c r="F16" s="27"/>
      <c r="G16" s="28"/>
    </row>
    <row r="17" spans="1:7" ht="42" customHeight="1">
      <c r="A17" s="23" t="s">
        <v>91</v>
      </c>
      <c r="B17" s="24" t="s">
        <v>92</v>
      </c>
      <c r="C17" s="25" t="s">
        <v>55</v>
      </c>
      <c r="D17" s="24" t="s">
        <v>93</v>
      </c>
      <c r="E17" s="24"/>
      <c r="F17" s="24"/>
      <c r="G17" s="26"/>
    </row>
    <row r="18" spans="1:7" ht="42" customHeight="1">
      <c r="A18" s="4" t="s">
        <v>94</v>
      </c>
      <c r="B18" s="27" t="s">
        <v>95</v>
      </c>
      <c r="C18" s="17" t="s">
        <v>71</v>
      </c>
      <c r="D18" s="27" t="s">
        <v>96</v>
      </c>
      <c r="E18" s="38" t="s">
        <v>97</v>
      </c>
      <c r="F18" s="27"/>
      <c r="G18" s="28"/>
    </row>
    <row r="19" spans="1:7" ht="42" customHeight="1">
      <c r="A19" s="23" t="s">
        <v>98</v>
      </c>
      <c r="B19" s="24" t="s">
        <v>99</v>
      </c>
      <c r="C19" s="25" t="s">
        <v>55</v>
      </c>
      <c r="D19" s="24" t="s">
        <v>100</v>
      </c>
      <c r="E19" s="24"/>
      <c r="F19" s="24"/>
      <c r="G19" s="26"/>
    </row>
    <row r="20" spans="1:7" ht="42" customHeight="1">
      <c r="A20" s="4" t="s">
        <v>101</v>
      </c>
      <c r="B20" s="27" t="s">
        <v>102</v>
      </c>
      <c r="C20" s="25" t="s">
        <v>55</v>
      </c>
      <c r="D20" s="27" t="s">
        <v>103</v>
      </c>
      <c r="E20" s="27"/>
      <c r="F20" s="27"/>
      <c r="G20" s="28"/>
    </row>
    <row r="21" spans="1:7" ht="18" customHeight="1">
      <c r="A21" s="19" t="s">
        <v>104</v>
      </c>
      <c r="B21" s="20" t="s">
        <v>15</v>
      </c>
      <c r="C21" s="21">
        <f>IF(ISERR(COUNTIF(C22:C31,"YES")/(COUNTIF(C22:C31,"YES")+COUNTIF(C22:C31,"NO"))),"TBD",COUNTIF(C22:C31,"YES")/(COUNTIF(C22:C31,"YES")+COUNTIF(C22:C31,"NO")))</f>
        <v>0.9</v>
      </c>
      <c r="D21" s="22"/>
      <c r="E21" s="22"/>
      <c r="F21" s="22"/>
      <c r="G21" s="22"/>
    </row>
    <row r="22" spans="1:7" ht="42" customHeight="1">
      <c r="A22" s="23" t="s">
        <v>105</v>
      </c>
      <c r="B22" s="24" t="s">
        <v>106</v>
      </c>
      <c r="C22" s="25" t="s">
        <v>55</v>
      </c>
      <c r="D22" s="24" t="s">
        <v>107</v>
      </c>
      <c r="E22" s="24"/>
      <c r="F22" s="24"/>
      <c r="G22" s="26"/>
    </row>
    <row r="23" spans="1:7" ht="42" customHeight="1">
      <c r="A23" s="4" t="s">
        <v>108</v>
      </c>
      <c r="B23" s="27" t="s">
        <v>109</v>
      </c>
      <c r="C23" s="25" t="s">
        <v>55</v>
      </c>
      <c r="D23" s="27" t="s">
        <v>110</v>
      </c>
      <c r="E23" s="27"/>
      <c r="F23" s="27"/>
      <c r="G23" s="28"/>
    </row>
    <row r="24" spans="1:7" ht="42" customHeight="1">
      <c r="A24" s="23" t="s">
        <v>111</v>
      </c>
      <c r="B24" s="24" t="s">
        <v>112</v>
      </c>
      <c r="C24" s="25" t="s">
        <v>55</v>
      </c>
      <c r="D24" s="24" t="s">
        <v>113</v>
      </c>
      <c r="E24" s="24"/>
      <c r="F24" s="24"/>
      <c r="G24" s="26"/>
    </row>
    <row r="25" spans="1:7" ht="42" customHeight="1">
      <c r="A25" s="4" t="s">
        <v>114</v>
      </c>
      <c r="B25" s="27" t="s">
        <v>115</v>
      </c>
      <c r="C25" s="25" t="s">
        <v>55</v>
      </c>
      <c r="D25" s="27" t="s">
        <v>116</v>
      </c>
      <c r="E25" s="27"/>
      <c r="F25" s="27"/>
      <c r="G25" s="28"/>
    </row>
    <row r="26" spans="1:7" ht="42" customHeight="1">
      <c r="A26" s="23" t="s">
        <v>117</v>
      </c>
      <c r="B26" s="24" t="s">
        <v>118</v>
      </c>
      <c r="C26" s="25" t="s">
        <v>55</v>
      </c>
      <c r="D26" s="24" t="s">
        <v>119</v>
      </c>
      <c r="E26" s="24"/>
      <c r="F26" s="24"/>
      <c r="G26" s="26"/>
    </row>
    <row r="27" spans="1:7" ht="42" customHeight="1">
      <c r="A27" s="4" t="s">
        <v>120</v>
      </c>
      <c r="B27" s="27" t="s">
        <v>121</v>
      </c>
      <c r="C27" s="25" t="s">
        <v>55</v>
      </c>
      <c r="D27" s="27" t="s">
        <v>122</v>
      </c>
      <c r="E27" s="27"/>
      <c r="F27" s="27"/>
      <c r="G27" s="28"/>
    </row>
    <row r="28" spans="1:7" ht="42" customHeight="1">
      <c r="A28" s="23" t="s">
        <v>123</v>
      </c>
      <c r="B28" s="24" t="s">
        <v>124</v>
      </c>
      <c r="C28" s="17" t="s">
        <v>71</v>
      </c>
      <c r="D28" s="24" t="s">
        <v>125</v>
      </c>
      <c r="E28" s="38" t="s">
        <v>126</v>
      </c>
      <c r="F28" s="24"/>
      <c r="G28" s="26"/>
    </row>
    <row r="29" spans="1:7" ht="42" customHeight="1">
      <c r="A29" s="4" t="s">
        <v>127</v>
      </c>
      <c r="B29" s="27" t="s">
        <v>128</v>
      </c>
      <c r="C29" s="25" t="s">
        <v>55</v>
      </c>
      <c r="D29" s="27" t="s">
        <v>129</v>
      </c>
      <c r="E29" s="27"/>
      <c r="F29" s="27"/>
      <c r="G29" s="28"/>
    </row>
    <row r="30" spans="1:7" ht="42" customHeight="1">
      <c r="A30" s="23" t="s">
        <v>130</v>
      </c>
      <c r="B30" s="24" t="s">
        <v>131</v>
      </c>
      <c r="C30" s="25" t="s">
        <v>55</v>
      </c>
      <c r="D30" s="24" t="s">
        <v>132</v>
      </c>
      <c r="E30" s="24"/>
      <c r="F30" s="24"/>
      <c r="G30" s="26"/>
    </row>
    <row r="31" spans="1:7" ht="42" customHeight="1">
      <c r="A31" s="4" t="s">
        <v>133</v>
      </c>
      <c r="B31" s="27" t="s">
        <v>134</v>
      </c>
      <c r="C31" s="25" t="s">
        <v>55</v>
      </c>
      <c r="D31" s="27" t="s">
        <v>135</v>
      </c>
      <c r="E31" s="27"/>
      <c r="F31" s="27"/>
      <c r="G31" s="28"/>
    </row>
    <row r="32" spans="1:7" ht="18" customHeight="1">
      <c r="A32" s="19" t="s">
        <v>136</v>
      </c>
      <c r="B32" s="20" t="s">
        <v>17</v>
      </c>
      <c r="C32" s="21">
        <f>IF(ISERR(COUNTIF(C33:C41,"YES")/(COUNTIF(C33:C41,"YES")+COUNTIF(C33:C41,"NO"))),"TBD",COUNTIF(C33:C41,"YES")/(COUNTIF(C33:C41,"YES")+COUNTIF(C33:C41,"NO")))</f>
        <v>0.88888888888888884</v>
      </c>
      <c r="D32" s="22"/>
      <c r="E32" s="22"/>
      <c r="F32" s="22"/>
      <c r="G32" s="22"/>
    </row>
    <row r="33" spans="1:7" ht="42" customHeight="1">
      <c r="A33" s="23" t="s">
        <v>137</v>
      </c>
      <c r="B33" s="24" t="s">
        <v>138</v>
      </c>
      <c r="C33" s="25" t="s">
        <v>55</v>
      </c>
      <c r="D33" s="24" t="s">
        <v>139</v>
      </c>
      <c r="E33" s="24"/>
      <c r="F33" s="24"/>
      <c r="G33" s="26"/>
    </row>
    <row r="34" spans="1:7" ht="42" customHeight="1">
      <c r="A34" s="4" t="s">
        <v>140</v>
      </c>
      <c r="B34" s="27" t="s">
        <v>141</v>
      </c>
      <c r="C34" s="25" t="s">
        <v>55</v>
      </c>
      <c r="D34" s="27" t="s">
        <v>142</v>
      </c>
      <c r="E34" s="27"/>
      <c r="F34" s="27"/>
      <c r="G34" s="28"/>
    </row>
    <row r="35" spans="1:7" ht="42" customHeight="1">
      <c r="A35" s="23" t="s">
        <v>143</v>
      </c>
      <c r="B35" s="24" t="s">
        <v>144</v>
      </c>
      <c r="C35" s="25" t="s">
        <v>55</v>
      </c>
      <c r="D35" s="24" t="s">
        <v>145</v>
      </c>
      <c r="E35" s="24"/>
      <c r="F35" s="24"/>
      <c r="G35" s="26"/>
    </row>
    <row r="36" spans="1:7" ht="42" customHeight="1">
      <c r="A36" s="4" t="s">
        <v>146</v>
      </c>
      <c r="B36" s="27" t="s">
        <v>147</v>
      </c>
      <c r="C36" s="25" t="s">
        <v>55</v>
      </c>
      <c r="D36" s="27" t="s">
        <v>148</v>
      </c>
      <c r="E36" s="27"/>
      <c r="F36" s="27"/>
      <c r="G36" s="28"/>
    </row>
    <row r="37" spans="1:7" ht="42" customHeight="1">
      <c r="A37" s="23" t="s">
        <v>149</v>
      </c>
      <c r="B37" s="24" t="s">
        <v>150</v>
      </c>
      <c r="C37" s="25" t="s">
        <v>55</v>
      </c>
      <c r="D37" s="24" t="s">
        <v>151</v>
      </c>
      <c r="E37" s="24"/>
      <c r="F37" s="24"/>
      <c r="G37" s="26"/>
    </row>
    <row r="38" spans="1:7" ht="42" customHeight="1">
      <c r="A38" s="4" t="s">
        <v>152</v>
      </c>
      <c r="B38" s="27" t="s">
        <v>153</v>
      </c>
      <c r="C38" s="25" t="s">
        <v>55</v>
      </c>
      <c r="D38" s="27" t="s">
        <v>154</v>
      </c>
      <c r="E38" s="27"/>
      <c r="F38" s="27"/>
      <c r="G38" s="28"/>
    </row>
    <row r="39" spans="1:7" ht="42" customHeight="1">
      <c r="A39" s="23" t="s">
        <v>155</v>
      </c>
      <c r="B39" s="24" t="s">
        <v>156</v>
      </c>
      <c r="C39" s="17" t="s">
        <v>71</v>
      </c>
      <c r="D39" s="24" t="s">
        <v>157</v>
      </c>
      <c r="E39" s="38" t="s">
        <v>158</v>
      </c>
      <c r="F39" s="24"/>
      <c r="G39" s="26"/>
    </row>
    <row r="40" spans="1:7" ht="42" customHeight="1">
      <c r="A40" s="4" t="s">
        <v>159</v>
      </c>
      <c r="B40" s="27" t="s">
        <v>160</v>
      </c>
      <c r="C40" s="25" t="s">
        <v>55</v>
      </c>
      <c r="D40" s="27" t="s">
        <v>161</v>
      </c>
      <c r="E40" s="27"/>
      <c r="F40" s="27"/>
      <c r="G40" s="28"/>
    </row>
    <row r="41" spans="1:7" ht="42" customHeight="1">
      <c r="A41" s="23" t="s">
        <v>162</v>
      </c>
      <c r="B41" s="24" t="s">
        <v>163</v>
      </c>
      <c r="C41" s="25" t="s">
        <v>55</v>
      </c>
      <c r="D41" s="24" t="s">
        <v>164</v>
      </c>
      <c r="E41" s="24"/>
      <c r="F41" s="24"/>
      <c r="G41" s="26"/>
    </row>
    <row r="42" spans="1:7" ht="18" customHeight="1">
      <c r="A42" s="19" t="s">
        <v>165</v>
      </c>
      <c r="B42" s="20" t="s">
        <v>19</v>
      </c>
      <c r="C42" s="21">
        <f>IF(ISERR(COUNTIF(C43:C49,"YES")/(COUNTIF(C43:C49,"YES")+COUNTIF(C43:C49,"NO"))),"TBD",COUNTIF(C43:C49,"YES")/(COUNTIF(C43:C49,"YES")+COUNTIF(C43:C49,"NO")))</f>
        <v>0.8571428571428571</v>
      </c>
      <c r="D42" s="22"/>
      <c r="E42" s="22"/>
      <c r="F42" s="22"/>
      <c r="G42" s="22"/>
    </row>
    <row r="43" spans="1:7" ht="42" customHeight="1">
      <c r="A43" s="23" t="s">
        <v>166</v>
      </c>
      <c r="B43" s="24" t="s">
        <v>167</v>
      </c>
      <c r="C43" s="25" t="s">
        <v>55</v>
      </c>
      <c r="D43" s="24" t="s">
        <v>168</v>
      </c>
      <c r="E43" s="24"/>
      <c r="F43" s="24"/>
      <c r="G43" s="26"/>
    </row>
    <row r="44" spans="1:7" ht="42" customHeight="1">
      <c r="A44" s="4" t="s">
        <v>169</v>
      </c>
      <c r="B44" s="27" t="s">
        <v>170</v>
      </c>
      <c r="C44" s="25" t="s">
        <v>55</v>
      </c>
      <c r="D44" s="27" t="s">
        <v>171</v>
      </c>
      <c r="E44" s="27"/>
      <c r="F44" s="27"/>
      <c r="G44" s="28"/>
    </row>
    <row r="45" spans="1:7" ht="42" customHeight="1">
      <c r="A45" s="23" t="s">
        <v>172</v>
      </c>
      <c r="B45" s="24" t="s">
        <v>173</v>
      </c>
      <c r="C45" s="25" t="s">
        <v>55</v>
      </c>
      <c r="D45" s="24" t="s">
        <v>174</v>
      </c>
      <c r="E45" s="24"/>
      <c r="F45" s="24"/>
      <c r="G45" s="26"/>
    </row>
    <row r="46" spans="1:7" ht="42" customHeight="1">
      <c r="A46" s="4" t="s">
        <v>175</v>
      </c>
      <c r="B46" s="27" t="s">
        <v>176</v>
      </c>
      <c r="C46" s="25" t="s">
        <v>55</v>
      </c>
      <c r="D46" s="27" t="s">
        <v>177</v>
      </c>
      <c r="E46" s="27"/>
      <c r="F46" s="27"/>
      <c r="G46" s="28"/>
    </row>
    <row r="47" spans="1:7" ht="42" customHeight="1">
      <c r="A47" s="23" t="s">
        <v>178</v>
      </c>
      <c r="B47" s="24" t="s">
        <v>179</v>
      </c>
      <c r="C47" s="25" t="s">
        <v>55</v>
      </c>
      <c r="D47" s="24" t="s">
        <v>180</v>
      </c>
      <c r="E47" s="24"/>
      <c r="F47" s="24"/>
      <c r="G47" s="26"/>
    </row>
    <row r="48" spans="1:7" ht="42" customHeight="1">
      <c r="A48" s="4" t="s">
        <v>181</v>
      </c>
      <c r="B48" s="27" t="s">
        <v>182</v>
      </c>
      <c r="C48" s="17" t="s">
        <v>71</v>
      </c>
      <c r="D48" s="27" t="s">
        <v>183</v>
      </c>
      <c r="E48" s="38" t="s">
        <v>184</v>
      </c>
      <c r="F48" s="27"/>
      <c r="G48" s="28"/>
    </row>
    <row r="49" spans="1:7" ht="42" customHeight="1">
      <c r="A49" s="23" t="s">
        <v>185</v>
      </c>
      <c r="B49" s="24" t="s">
        <v>186</v>
      </c>
      <c r="C49" s="25" t="s">
        <v>55</v>
      </c>
      <c r="D49" s="24" t="s">
        <v>187</v>
      </c>
      <c r="E49" s="24"/>
      <c r="F49" s="24"/>
      <c r="G49" s="26"/>
    </row>
    <row r="50" spans="1:7" ht="18" customHeight="1">
      <c r="A50" s="19" t="s">
        <v>188</v>
      </c>
      <c r="B50" s="20" t="s">
        <v>21</v>
      </c>
      <c r="C50" s="21">
        <f>IF(ISERR(COUNTIF(C51:C59,"YES")/(COUNTIF(C51:C59,"YES")+COUNTIF(C51:C59,"NO"))),"TBD",COUNTIF(C51:C59,"YES")/(COUNTIF(C51:C59,"YES")+COUNTIF(C51:C59,"NO")))</f>
        <v>1</v>
      </c>
      <c r="D50" s="22"/>
      <c r="E50" s="22"/>
      <c r="F50" s="22"/>
      <c r="G50" s="22"/>
    </row>
    <row r="51" spans="1:7" ht="42" customHeight="1">
      <c r="A51" s="23" t="s">
        <v>189</v>
      </c>
      <c r="B51" s="24" t="s">
        <v>190</v>
      </c>
      <c r="C51" s="25" t="s">
        <v>55</v>
      </c>
      <c r="D51" s="24" t="s">
        <v>191</v>
      </c>
      <c r="E51" s="24"/>
      <c r="F51" s="24"/>
      <c r="G51" s="26"/>
    </row>
    <row r="52" spans="1:7" ht="42" customHeight="1">
      <c r="A52" s="4" t="s">
        <v>192</v>
      </c>
      <c r="B52" s="27" t="s">
        <v>193</v>
      </c>
      <c r="C52" s="25" t="s">
        <v>55</v>
      </c>
      <c r="D52" s="27" t="s">
        <v>194</v>
      </c>
      <c r="E52" s="27"/>
      <c r="F52" s="27"/>
      <c r="G52" s="28"/>
    </row>
    <row r="53" spans="1:7" ht="42" customHeight="1">
      <c r="A53" s="23" t="s">
        <v>195</v>
      </c>
      <c r="B53" s="24" t="s">
        <v>196</v>
      </c>
      <c r="C53" s="25" t="s">
        <v>55</v>
      </c>
      <c r="D53" s="24" t="s">
        <v>197</v>
      </c>
      <c r="E53" s="24"/>
      <c r="F53" s="24"/>
      <c r="G53" s="26"/>
    </row>
    <row r="54" spans="1:7" ht="42" customHeight="1">
      <c r="A54" s="4" t="s">
        <v>198</v>
      </c>
      <c r="B54" s="27" t="s">
        <v>199</v>
      </c>
      <c r="C54" s="25" t="s">
        <v>55</v>
      </c>
      <c r="D54" s="27" t="s">
        <v>200</v>
      </c>
      <c r="E54" s="27"/>
      <c r="F54" s="27"/>
      <c r="G54" s="28"/>
    </row>
    <row r="55" spans="1:7" ht="42" customHeight="1">
      <c r="A55" s="23" t="s">
        <v>201</v>
      </c>
      <c r="B55" s="24" t="s">
        <v>202</v>
      </c>
      <c r="C55" s="25" t="s">
        <v>55</v>
      </c>
      <c r="D55" s="24" t="s">
        <v>203</v>
      </c>
      <c r="E55" s="24"/>
      <c r="F55" s="24"/>
      <c r="G55" s="26"/>
    </row>
    <row r="56" spans="1:7" ht="42" customHeight="1">
      <c r="A56" s="4" t="s">
        <v>204</v>
      </c>
      <c r="B56" s="27" t="s">
        <v>205</v>
      </c>
      <c r="C56" s="25" t="s">
        <v>55</v>
      </c>
      <c r="D56" s="27" t="s">
        <v>206</v>
      </c>
      <c r="E56" s="27"/>
      <c r="F56" s="27"/>
      <c r="G56" s="28"/>
    </row>
    <row r="57" spans="1:7" ht="42" customHeight="1">
      <c r="A57" s="23" t="s">
        <v>207</v>
      </c>
      <c r="B57" s="24" t="s">
        <v>208</v>
      </c>
      <c r="C57" s="25" t="s">
        <v>55</v>
      </c>
      <c r="D57" s="24" t="s">
        <v>209</v>
      </c>
      <c r="E57" s="24"/>
      <c r="F57" s="24"/>
      <c r="G57" s="26"/>
    </row>
    <row r="58" spans="1:7" ht="42" customHeight="1">
      <c r="A58" s="4" t="s">
        <v>210</v>
      </c>
      <c r="B58" s="27" t="s">
        <v>211</v>
      </c>
      <c r="C58" s="25" t="s">
        <v>55</v>
      </c>
      <c r="D58" s="27" t="s">
        <v>212</v>
      </c>
      <c r="E58" s="27"/>
      <c r="F58" s="27"/>
      <c r="G58" s="28"/>
    </row>
    <row r="59" spans="1:7" ht="42" customHeight="1">
      <c r="A59" s="23" t="s">
        <v>213</v>
      </c>
      <c r="B59" s="24" t="s">
        <v>214</v>
      </c>
      <c r="C59" s="25" t="s">
        <v>55</v>
      </c>
      <c r="D59" s="24" t="s">
        <v>215</v>
      </c>
      <c r="E59" s="27"/>
      <c r="F59" s="24"/>
      <c r="G59" s="26"/>
    </row>
  </sheetData>
  <mergeCells count="1">
    <mergeCell ref="B1:G1"/>
  </mergeCells>
  <dataValidations count="1">
    <dataValidation type="list" allowBlank="1" sqref="C4:C100" xr:uid="{00000000-0002-0000-0100-000000000000}">
      <formula1>"yes,no"</formula1>
    </dataValidation>
  </dataValidations>
  <pageMargins left="0.75" right="0.75" top="1" bottom="1" header="0.5" footer="0.5"/>
  <pageSetup fitToHeight="0" orientation="landscape"/>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CD46199B7E248248BC9D3A0C4D9ABAA4" ma:contentTypeVersion="16" ma:contentTypeDescription="Create a new document." ma:contentTypeScope="" ma:versionID="51536095edf5a1fed09b14a034393101">
  <xsd:schema xmlns:xsd="http://www.w3.org/2001/XMLSchema" xmlns:xs="http://www.w3.org/2001/XMLSchema" xmlns:p="http://schemas.microsoft.com/office/2006/metadata/properties" xmlns:ns2="42ed4b48-a58f-40b7-8fef-c5e7f6fdb5e8" xmlns:ns3="531f5400-ad70-4ce0-af02-c43622f39101" targetNamespace="http://schemas.microsoft.com/office/2006/metadata/properties" ma:root="true" ma:fieldsID="6c9165086326ee025e063eac577d4ede" ns2:_="" ns3:_="">
    <xsd:import namespace="42ed4b48-a58f-40b7-8fef-c5e7f6fdb5e8"/>
    <xsd:import namespace="531f5400-ad70-4ce0-af02-c43622f39101"/>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MediaServiceGenerationTime" minOccurs="0"/>
                <xsd:element ref="ns2:MediaServiceEventHashCode" minOccurs="0"/>
                <xsd:element ref="ns2:lcf76f155ced4ddcb4097134ff3c332f" minOccurs="0"/>
                <xsd:element ref="ns3:TaxCatchAll" minOccurs="0"/>
                <xsd:element ref="ns3:SharedWithUsers" minOccurs="0"/>
                <xsd:element ref="ns3:SharedWithDetails" minOccurs="0"/>
                <xsd:element ref="ns2:MediaServiceOCR" minOccurs="0"/>
                <xsd:element ref="ns2:MediaLengthInSeconds" minOccurs="0"/>
                <xsd:element ref="ns2:MediaServiceSearchProperties" minOccurs="0"/>
                <xsd:element ref="ns2:MediaServiceDateTaken" minOccurs="0"/>
                <xsd:element ref="ns2:MediaServiceLocation"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2ed4b48-a58f-40b7-8fef-c5e7f6fdb5e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lcf76f155ced4ddcb4097134ff3c332f" ma:index="14" nillable="true" ma:taxonomy="true" ma:internalName="lcf76f155ced4ddcb4097134ff3c332f" ma:taxonomyFieldName="MediaServiceImageTags" ma:displayName="Image Tags" ma:readOnly="false" ma:fieldId="{5cf76f15-5ced-4ddc-b409-7134ff3c332f}" ma:taxonomyMulti="true" ma:sspId="fa270b9f-e1ef-4a5a-a7e4-f79c90d34972"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LengthInSeconds" ma:index="19" nillable="true" ma:displayName="MediaLengthInSeconds" ma:hidden="true" ma:internalName="MediaLengthInSeconds" ma:readOnly="true">
      <xsd:simpleType>
        <xsd:restriction base="dms:Unknown"/>
      </xsd:simpleType>
    </xsd:element>
    <xsd:element name="MediaServiceSearchProperties" ma:index="20" nillable="true" ma:displayName="MediaServiceSearchProperties" ma:hidden="true" ma:internalName="MediaServiceSearchProperties" ma:readOnly="true">
      <xsd:simpleType>
        <xsd:restriction base="dms:Note"/>
      </xsd:simpleType>
    </xsd:element>
    <xsd:element name="MediaServiceDateTaken" ma:index="21" nillable="true" ma:displayName="MediaServiceDateTaken" ma:hidden="true" ma:indexed="true" ma:internalName="MediaServiceDateTaken" ma:readOnly="true">
      <xsd:simpleType>
        <xsd:restriction base="dms:Text"/>
      </xsd:simpleType>
    </xsd:element>
    <xsd:element name="MediaServiceLocation" ma:index="22" nillable="true" ma:displayName="Location" ma:indexed="true" ma:internalName="MediaServiceLocation" ma:readOnly="true">
      <xsd:simpleType>
        <xsd:restriction base="dms:Text"/>
      </xsd:simpleType>
    </xsd:element>
    <xsd:element name="MediaServiceBillingMetadata" ma:index="23"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531f5400-ad70-4ce0-af02-c43622f39101"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d919fc72-4fb4-465c-9056-74fdba053ac9}" ma:internalName="TaxCatchAll" ma:showField="CatchAllData" ma:web="531f5400-ad70-4ce0-af02-c43622f39101">
      <xsd:complexType>
        <xsd:complexContent>
          <xsd:extension base="dms:MultiChoiceLookup">
            <xsd:sequence>
              <xsd:element name="Value" type="dms:Lookup" maxOccurs="unbounded" minOccurs="0" nillable="true"/>
            </xsd:sequence>
          </xsd:extension>
        </xsd:complexContent>
      </xsd:complexType>
    </xsd:element>
    <xsd:element name="SharedWithUsers" ma:index="16"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42ed4b48-a58f-40b7-8fef-c5e7f6fdb5e8">
      <Terms xmlns="http://schemas.microsoft.com/office/infopath/2007/PartnerControls"/>
    </lcf76f155ced4ddcb4097134ff3c332f>
    <TaxCatchAll xmlns="531f5400-ad70-4ce0-af02-c43622f39101" xsi:nil="true"/>
  </documentManagement>
</p:properties>
</file>

<file path=customXml/itemProps1.xml><?xml version="1.0" encoding="utf-8"?>
<ds:datastoreItem xmlns:ds="http://schemas.openxmlformats.org/officeDocument/2006/customXml" ds:itemID="{11741267-3DF1-438F-A9E9-4C1F855B3531}"/>
</file>

<file path=customXml/itemProps2.xml><?xml version="1.0" encoding="utf-8"?>
<ds:datastoreItem xmlns:ds="http://schemas.openxmlformats.org/officeDocument/2006/customXml" ds:itemID="{D043ACF2-5950-4A16-ABA8-0A66281C61E0}"/>
</file>

<file path=customXml/itemProps3.xml><?xml version="1.0" encoding="utf-8"?>
<ds:datastoreItem xmlns:ds="http://schemas.openxmlformats.org/officeDocument/2006/customXml" ds:itemID="{FBFA41F7-F059-4306-A424-6215B862EBE4}"/>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2</vt:i4>
      </vt:variant>
    </vt:vector>
  </HeadingPairs>
  <TitlesOfParts>
    <vt:vector size="4" baseType="lpstr">
      <vt:lpstr>Summary</vt:lpstr>
      <vt:lpstr>Checklist</vt:lpstr>
      <vt:lpstr>Checklist!Print_Titles</vt:lpstr>
      <vt:lpstr>Summary!Print_Titles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DAO Pham Nguyen Hong</cp:lastModifiedBy>
  <dcterms:created xsi:type="dcterms:W3CDTF">2026-04-21T04:32:08Z</dcterms:created>
  <dcterms:modified xsi:type="dcterms:W3CDTF">2026-04-21T09:18:48Z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0x010100CD46199B7E248248BC9D3A0C4D9ABAA4</vt:lpwstr>
  </property>
</Properties>
</file>